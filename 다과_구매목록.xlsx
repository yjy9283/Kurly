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09371" TargetMode="External" Id="rId3" /><Relationship Type="http://schemas.openxmlformats.org/officeDocument/2006/relationships/hyperlink" Target="https://www.kurly.com/goods/5074339" TargetMode="External" Id="rId4" /><Relationship Type="http://schemas.openxmlformats.org/officeDocument/2006/relationships/hyperlink" Target="https://www.kurly.com/goods/5093256" TargetMode="External" Id="rId5" /><Relationship Type="http://schemas.openxmlformats.org/officeDocument/2006/relationships/hyperlink" Target="https://www.kurly.com/goods/5007664" TargetMode="External" Id="rId6" /><Relationship Type="http://schemas.openxmlformats.org/officeDocument/2006/relationships/hyperlink" Target="https://www.kurly.com/goods/1000593035" TargetMode="External" Id="rId7" /><Relationship Type="http://schemas.openxmlformats.org/officeDocument/2006/relationships/hyperlink" Target="https://www.kurly.com/goods/5081428" TargetMode="External" Id="rId8" /><Relationship Type="http://schemas.openxmlformats.org/officeDocument/2006/relationships/hyperlink" Target="https://www.kurly.com/goods/1000499709" TargetMode="External" Id="rId9" /><Relationship Type="http://schemas.openxmlformats.org/officeDocument/2006/relationships/hyperlink" Target="https://www.kurly.com/goods/5043922" TargetMode="External" Id="rId10" /><Relationship Type="http://schemas.openxmlformats.org/officeDocument/2006/relationships/hyperlink" Target="https://www.kurly.com/goods/1001084575" TargetMode="External" Id="rId11" /><Relationship Type="http://schemas.openxmlformats.org/officeDocument/2006/relationships/hyperlink" Target="https://www.kurly.com/goods/1000495453" TargetMode="External" Id="rId12" /><Relationship Type="http://schemas.openxmlformats.org/officeDocument/2006/relationships/hyperlink" Target="https://www.kurly.com/goods/5077465" TargetMode="External" Id="rId13" /><Relationship Type="http://schemas.openxmlformats.org/officeDocument/2006/relationships/hyperlink" Target="https://www.kurly.com/goods/1000033205" TargetMode="External" Id="rId14" /><Relationship Type="http://schemas.openxmlformats.org/officeDocument/2006/relationships/hyperlink" Target="https://www.kurly.com/goods/1000490099" TargetMode="External" Id="rId15" /><Relationship Type="http://schemas.openxmlformats.org/officeDocument/2006/relationships/hyperlink" Target="https://www.kurly.com/goods/1000975389" TargetMode="External" Id="rId16" /><Relationship Type="http://schemas.openxmlformats.org/officeDocument/2006/relationships/hyperlink" Target="https://www.kurly.com/goods/1000198198" TargetMode="External" Id="rId17" /><Relationship Type="http://schemas.openxmlformats.org/officeDocument/2006/relationships/hyperlink" Target="https://www.kurly.com/goods/1000528989" TargetMode="External" Id="rId18" /><Relationship Type="http://schemas.openxmlformats.org/officeDocument/2006/relationships/hyperlink" Target="https://www.kurly.com/goods/5067311" TargetMode="External" Id="rId19" /><Relationship Type="http://schemas.openxmlformats.org/officeDocument/2006/relationships/hyperlink" Target="https://www.kurly.com/goods/1002225099" TargetMode="External" Id="rId20" /><Relationship Type="http://schemas.openxmlformats.org/officeDocument/2006/relationships/hyperlink" Target="https://www.kurly.com/goods/5121160" TargetMode="External" Id="rId21" /><Relationship Type="http://schemas.openxmlformats.org/officeDocument/2006/relationships/hyperlink" Target="https://www.kurly.com/goods/1000339526" TargetMode="External" Id="rId22" /><Relationship Type="http://schemas.openxmlformats.org/officeDocument/2006/relationships/hyperlink" Target="https://www.kurly.com/goods/5061562" TargetMode="External" Id="rId23" /><Relationship Type="http://schemas.openxmlformats.org/officeDocument/2006/relationships/hyperlink" Target="https://www.kurly.com/goods/5095164" TargetMode="External" Id="rId24" /><Relationship Type="http://schemas.openxmlformats.org/officeDocument/2006/relationships/hyperlink" Target="https://www.kurly.com/goods/1000492705" TargetMode="External" Id="rId25" /><Relationship Type="http://schemas.openxmlformats.org/officeDocument/2006/relationships/hyperlink" Target="https://www.kurly.com/goods/1001032586" TargetMode="External" Id="rId26" /><Relationship Type="http://schemas.openxmlformats.org/officeDocument/2006/relationships/hyperlink" Target="https://www.kurly.com/goods/5061296" TargetMode="External" Id="rId27" /><Relationship Type="http://schemas.openxmlformats.org/officeDocument/2006/relationships/hyperlink" Target="https://www.kurly.com/goods/1000339499" TargetMode="External" Id="rId28" /><Relationship Type="http://schemas.openxmlformats.org/officeDocument/2006/relationships/hyperlink" Target="https://www.kurly.com/goods/1000875718" TargetMode="External" Id="rId29" /><Relationship Type="http://schemas.openxmlformats.org/officeDocument/2006/relationships/hyperlink" Target="https://www.kurly.com/goods/1001391146" TargetMode="External" Id="rId30" /><Relationship Type="http://schemas.openxmlformats.org/officeDocument/2006/relationships/hyperlink" Target="https://www.kurly.com/goods/1001382646" TargetMode="External" Id="rId31" /><Relationship Type="http://schemas.openxmlformats.org/officeDocument/2006/relationships/hyperlink" Target="https://www.kurly.com/goods/1000175874" TargetMode="External" Id="rId32" /><Relationship Type="http://schemas.openxmlformats.org/officeDocument/2006/relationships/hyperlink" Target="https://www.kurly.com/goods/1000175876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SUM(F5:F37)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베이커리 소포장</t>
        </is>
      </c>
      <c r="C7" t="inlineStr">
        <is>
          <t>[메종엠오] 마들렌 3종 (택1)</t>
        </is>
      </c>
      <c r="D7" s="2" t="n">
        <v>3500</v>
      </c>
      <c r="E7" t="n">
        <v>5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https://www.kurly.com/goods/5009371</t>
        </is>
      </c>
      <c r="J7" t="inlineStr"/>
    </row>
    <row r="8">
      <c r="A8" t="inlineStr">
        <is>
          <t>추천</t>
        </is>
      </c>
      <c r="B8" t="inlineStr">
        <is>
          <t>베이커리 소포장</t>
        </is>
      </c>
      <c r="C8" t="inlineStr">
        <is>
          <t>[브레댄코] 봉주르 카스테라 2종 (택1)</t>
        </is>
      </c>
      <c r="D8" s="2" t="n">
        <v>11500</v>
      </c>
      <c r="E8" t="n">
        <v>1</v>
      </c>
      <c r="F8" s="2">
        <f>D8*E8</f>
        <v/>
      </c>
      <c r="G8" t="n">
        <v>0</v>
      </c>
      <c r="H8" t="n">
        <v>9999</v>
      </c>
      <c r="I8" s="8" t="inlineStr">
        <is>
          <t>https://www.kurly.com/goods/5074339</t>
        </is>
      </c>
      <c r="J8" t="inlineStr"/>
    </row>
    <row r="9">
      <c r="A9" t="inlineStr">
        <is>
          <t>추천</t>
        </is>
      </c>
      <c r="B9" t="inlineStr">
        <is>
          <t>베이커리 소포장</t>
        </is>
      </c>
      <c r="C9" t="inlineStr">
        <is>
          <t>[오르랔베이커리] 크러핀 4종 (택1)</t>
        </is>
      </c>
      <c r="D9" s="2" t="n">
        <v>5200</v>
      </c>
      <c r="E9" t="n">
        <v>3</v>
      </c>
      <c r="F9" s="2">
        <f>D9*E9</f>
        <v/>
      </c>
      <c r="G9" t="n">
        <v>0</v>
      </c>
      <c r="H9" t="n">
        <v>9999</v>
      </c>
      <c r="I9" s="8" t="inlineStr">
        <is>
          <t>https://www.kurly.com/goods/5093256</t>
        </is>
      </c>
      <c r="J9" t="inlineStr"/>
    </row>
    <row r="10">
      <c r="A10" t="inlineStr">
        <is>
          <t>추천</t>
        </is>
      </c>
      <c r="B10" t="inlineStr">
        <is>
          <t>에너지바</t>
        </is>
      </c>
      <c r="C10" t="inlineStr">
        <is>
          <t>[네이처밸리] 그래놀라 바 3종 ,택1</t>
        </is>
      </c>
      <c r="D10" s="2" t="n">
        <v>3980</v>
      </c>
      <c r="E10" t="n">
        <v>3</v>
      </c>
      <c r="F10" s="2">
        <f>D10*E10</f>
        <v/>
      </c>
      <c r="G10" t="n">
        <v>38</v>
      </c>
      <c r="H10" t="n">
        <v>9999</v>
      </c>
      <c r="I10" s="8" t="inlineStr">
        <is>
          <t>https://www.kurly.com/goods/5007664</t>
        </is>
      </c>
      <c r="J10" t="inlineStr"/>
    </row>
    <row r="11">
      <c r="A11" t="inlineStr">
        <is>
          <t>추천</t>
        </is>
      </c>
      <c r="B11" t="inlineStr">
        <is>
          <t>에너지바</t>
        </is>
      </c>
      <c r="C11" t="inlineStr">
        <is>
          <t>[마켓오네이처] 오!그래놀라 다이제 2종 (택1)</t>
        </is>
      </c>
      <c r="D11" s="2" t="n">
        <v>5980</v>
      </c>
      <c r="E11" t="n">
        <v>2</v>
      </c>
      <c r="F11" s="2">
        <f>D11*E11</f>
        <v/>
      </c>
      <c r="G11" t="n">
        <v>0</v>
      </c>
      <c r="H11" t="n">
        <v>999</v>
      </c>
      <c r="I11" s="8" t="inlineStr">
        <is>
          <t>https://www.kurly.com/goods/1000593035</t>
        </is>
      </c>
      <c r="J11" t="inlineStr"/>
    </row>
    <row r="12">
      <c r="A12" t="inlineStr">
        <is>
          <t>추천</t>
        </is>
      </c>
      <c r="B12" t="inlineStr">
        <is>
          <t>일본 과자</t>
        </is>
      </c>
      <c r="C12" t="inlineStr">
        <is>
          <t>[사토제과] 아주끼 모나카</t>
        </is>
      </c>
      <c r="D12" s="2" t="n">
        <v>7380</v>
      </c>
      <c r="E12" t="n">
        <v>2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https://www.kurly.com/goods/5081428</t>
        </is>
      </c>
      <c r="J12" t="inlineStr"/>
    </row>
    <row r="13">
      <c r="A13" t="inlineStr">
        <is>
          <t>추천</t>
        </is>
      </c>
      <c r="B13" t="inlineStr">
        <is>
          <t>일본 과자</t>
        </is>
      </c>
      <c r="C13" t="inlineStr">
        <is>
          <t>[카수가이] 과일 구미 6종 (택1)</t>
        </is>
      </c>
      <c r="D13" s="2" t="n">
        <v>3980</v>
      </c>
      <c r="E13" t="n">
        <v>3</v>
      </c>
      <c r="F13" s="2">
        <f>D13*E13</f>
        <v/>
      </c>
      <c r="G13" t="n">
        <v>0</v>
      </c>
      <c r="H13" t="n">
        <v>514</v>
      </c>
      <c r="I13" s="8" t="inlineStr">
        <is>
          <t>https://www.kurly.com/goods/1000499709</t>
        </is>
      </c>
      <c r="J13" t="inlineStr"/>
    </row>
    <row r="14">
      <c r="A14" t="inlineStr">
        <is>
          <t>추천</t>
        </is>
      </c>
      <c r="B14" t="inlineStr">
        <is>
          <t>초콜릿/캔디/젤리</t>
        </is>
      </c>
      <c r="C14" t="inlineStr">
        <is>
          <t>[댄케이크] 싱글서브 초콜릿칩 쿠키 18입</t>
        </is>
      </c>
      <c r="D14" s="2" t="n">
        <v>13500</v>
      </c>
      <c r="E14" t="n">
        <v>1</v>
      </c>
      <c r="F14" s="2">
        <f>D14*E14</f>
        <v/>
      </c>
      <c r="G14" t="n">
        <v>0</v>
      </c>
      <c r="H14" t="n">
        <v>999</v>
      </c>
      <c r="I14" s="8" t="inlineStr">
        <is>
          <t>https://www.kurly.com/goods/5043922</t>
        </is>
      </c>
      <c r="J14" t="inlineStr"/>
    </row>
    <row r="15">
      <c r="A15" t="inlineStr">
        <is>
          <t>추천</t>
        </is>
      </c>
      <c r="B15" t="inlineStr">
        <is>
          <t>초콜릿/캔디/젤리</t>
        </is>
      </c>
      <c r="C15" t="inlineStr">
        <is>
          <t>[동원] Dole 컵젤리 200g 7종</t>
        </is>
      </c>
      <c r="D15" s="2" t="n">
        <v>1980</v>
      </c>
      <c r="E15" t="n">
        <v>6</v>
      </c>
      <c r="F15" s="2">
        <f>D15*E15</f>
        <v/>
      </c>
      <c r="G15" t="n">
        <v>20</v>
      </c>
      <c r="H15" t="n">
        <v>481</v>
      </c>
      <c r="I15" s="8" t="inlineStr">
        <is>
          <t>https://www.kurly.com/goods/1001084575</t>
        </is>
      </c>
      <c r="J15" t="inlineStr"/>
    </row>
    <row r="16">
      <c r="A16" t="inlineStr">
        <is>
          <t>추천</t>
        </is>
      </c>
      <c r="B16" t="inlineStr">
        <is>
          <t>초콜릿/캔디/젤리</t>
        </is>
      </c>
      <c r="C16" t="inlineStr">
        <is>
          <t>[삼립] 온가족이 함께 즐기는 4가지맛 젤리뽀 10입 600g</t>
        </is>
      </c>
      <c r="D16" s="2" t="n">
        <v>5980</v>
      </c>
      <c r="E16" t="n">
        <v>3</v>
      </c>
      <c r="F16" s="2">
        <f>D16*E16</f>
        <v/>
      </c>
      <c r="G16" t="n">
        <v>0</v>
      </c>
      <c r="H16" t="n">
        <v>397</v>
      </c>
      <c r="I16" s="8" t="inlineStr">
        <is>
          <t>https://www.kurly.com/goods/1000495453</t>
        </is>
      </c>
      <c r="J16" t="inlineStr"/>
    </row>
    <row r="17">
      <c r="A17" t="inlineStr">
        <is>
          <t>추천</t>
        </is>
      </c>
      <c r="B17" t="inlineStr">
        <is>
          <t>쿠키/비스킷(개별포장)</t>
        </is>
      </c>
      <c r="C17" t="inlineStr">
        <is>
          <t>[해태] 에이스 364g (24g x 15봉지)</t>
        </is>
      </c>
      <c r="D17" s="2" t="n">
        <v>3980</v>
      </c>
      <c r="E17" t="n">
        <v>3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https://www.kurly.com/goods/5077465</t>
        </is>
      </c>
      <c r="J17" t="inlineStr"/>
    </row>
    <row r="18">
      <c r="A18" t="inlineStr">
        <is>
          <t>추천</t>
        </is>
      </c>
      <c r="B18" t="inlineStr">
        <is>
          <t>쿠키/비스킷(개별포장)</t>
        </is>
      </c>
      <c r="C18" t="inlineStr">
        <is>
          <t>[오리온] 다이제 오리지널 351g</t>
        </is>
      </c>
      <c r="D18" s="2" t="n">
        <v>3280</v>
      </c>
      <c r="E18" t="n">
        <v>4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https://www.kurly.com/goods/1000033205</t>
        </is>
      </c>
      <c r="J18" t="inlineStr"/>
    </row>
    <row r="19">
      <c r="A19" t="inlineStr">
        <is>
          <t>추천</t>
        </is>
      </c>
      <c r="B19" t="inlineStr">
        <is>
          <t>쿠키/비스킷(개별포장)</t>
        </is>
      </c>
      <c r="C19" t="inlineStr">
        <is>
          <t>[해태] 에이스 바스크 치즈 케이크 364g</t>
        </is>
      </c>
      <c r="D19" s="2" t="n">
        <v>3980</v>
      </c>
      <c r="E19" t="n">
        <v>3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https://www.kurly.com/goods/1000490099</t>
        </is>
      </c>
      <c r="J19" t="inlineStr"/>
    </row>
    <row r="20">
      <c r="A20" t="inlineStr">
        <is>
          <t>추천</t>
        </is>
      </c>
      <c r="B20" t="inlineStr">
        <is>
          <t>쿠키/비스킷(개별포장)</t>
        </is>
      </c>
      <c r="C20" t="inlineStr">
        <is>
          <t>[맥비티] 다이제스티브 비스킷 2종 (택1)</t>
        </is>
      </c>
      <c r="D20" s="2" t="n">
        <v>2990</v>
      </c>
      <c r="E20" t="n">
        <v>4</v>
      </c>
      <c r="F20" s="2">
        <f>D20*E20</f>
        <v/>
      </c>
      <c r="G20" t="n">
        <v>0</v>
      </c>
      <c r="H20" t="n">
        <v>999</v>
      </c>
      <c r="I20" s="8" t="inlineStr">
        <is>
          <t>https://www.kurly.com/goods/1000975389</t>
        </is>
      </c>
      <c r="J20" t="inlineStr"/>
    </row>
    <row r="21">
      <c r="A21" t="inlineStr">
        <is>
          <t>추천</t>
        </is>
      </c>
      <c r="B21" t="inlineStr">
        <is>
          <t>쿠키/비스킷(개별포장)</t>
        </is>
      </c>
      <c r="C21" t="inlineStr">
        <is>
          <t>[오리온] 다이제 쏙쏙포장 5종 (택1)</t>
        </is>
      </c>
      <c r="D21" s="2" t="n">
        <v>3200</v>
      </c>
      <c r="E21" t="n">
        <v>4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https://www.kurly.com/goods/1000198198</t>
        </is>
      </c>
      <c r="J21" t="inlineStr"/>
    </row>
    <row r="22">
      <c r="A22" t="inlineStr">
        <is>
          <t>추천</t>
        </is>
      </c>
      <c r="B22" t="inlineStr">
        <is>
          <t>쿠키/비스킷(개별포장)</t>
        </is>
      </c>
      <c r="C22" t="inlineStr">
        <is>
          <t>[해태] 에이스 씬 에스프레소 291g</t>
        </is>
      </c>
      <c r="D22" s="2" t="n">
        <v>3980</v>
      </c>
      <c r="E22" t="n">
        <v>3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https://www.kurly.com/goods/1000528989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[오리온] 촉촉한초코칩 320g</t>
        </is>
      </c>
      <c r="D23" s="2" t="n">
        <v>4480</v>
      </c>
      <c r="E23" t="n">
        <v>3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https://www.kurly.com/goods/5067311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[해태] 오예스 미니 크림소다맛 192g</t>
        </is>
      </c>
      <c r="D24" s="2" t="n">
        <v>2506</v>
      </c>
      <c r="E24" t="n">
        <v>5</v>
      </c>
      <c r="F24" s="2">
        <f>D24*E24</f>
        <v/>
      </c>
      <c r="G24" t="n">
        <v>30</v>
      </c>
      <c r="H24" t="n">
        <v>187</v>
      </c>
      <c r="I24" s="8" t="inlineStr">
        <is>
          <t>https://www.kurly.com/goods/1002225099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[크라운] 쿠크다스 2종 (택1)</t>
        </is>
      </c>
      <c r="D25" s="2" t="n">
        <v>4380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https://www.kurly.com/goods/5121160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[롯데] 마가렛트 오리지널 352g</t>
        </is>
      </c>
      <c r="D26" s="2" t="n">
        <v>5440</v>
      </c>
      <c r="E26" t="n">
        <v>2</v>
      </c>
      <c r="F26" s="2">
        <f>D26*E26</f>
        <v/>
      </c>
      <c r="G26" t="n">
        <v>0</v>
      </c>
      <c r="H26" t="n">
        <v>956</v>
      </c>
      <c r="I26" s="8" t="inlineStr">
        <is>
          <t>https://www.kurly.com/goods/1000339526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[브레댄코] 리얼 브라우니 쿠키 2종 (택1)</t>
        </is>
      </c>
      <c r="D27" s="2" t="n">
        <v>3690</v>
      </c>
      <c r="E27" t="n">
        <v>3</v>
      </c>
      <c r="F27" s="2">
        <f>D27*E27</f>
        <v/>
      </c>
      <c r="G27" t="n">
        <v>0</v>
      </c>
      <c r="H27" t="n">
        <v>9999</v>
      </c>
      <c r="I27" s="8" t="inlineStr">
        <is>
          <t>https://www.kurly.com/goods/5061562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[오리온] 예감 치즈 그라탕 204g</t>
        </is>
      </c>
      <c r="D28" s="2" t="n">
        <v>3580</v>
      </c>
      <c r="E28" t="n">
        <v>3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https://www.kurly.com/goods/5095164</t>
        </is>
      </c>
      <c r="J28" t="inlineStr"/>
    </row>
    <row r="29">
      <c r="A29" t="inlineStr">
        <is>
          <t>추천</t>
        </is>
      </c>
      <c r="B29" t="inlineStr">
        <is>
          <t>티/커피 스틱</t>
        </is>
      </c>
      <c r="C29" t="inlineStr">
        <is>
          <t>[이디야] 라떼 30개입 3종 (택1)</t>
        </is>
      </c>
      <c r="D29" s="2" t="n">
        <v>10640</v>
      </c>
      <c r="E29" t="n">
        <v>1</v>
      </c>
      <c r="F29" s="2">
        <f>D29*E29</f>
        <v/>
      </c>
      <c r="G29" t="n">
        <v>5</v>
      </c>
      <c r="H29" t="n">
        <v>999</v>
      </c>
      <c r="I29" s="8" t="inlineStr">
        <is>
          <t>https://www.kurly.com/goods/1000492705</t>
        </is>
      </c>
      <c r="J29" t="inlineStr"/>
    </row>
    <row r="30">
      <c r="A30" t="inlineStr">
        <is>
          <t>추천</t>
        </is>
      </c>
      <c r="B30" t="inlineStr">
        <is>
          <t>티/커피 스틱</t>
        </is>
      </c>
      <c r="C30" t="inlineStr">
        <is>
          <t>[샘표] 순작 유기농보리차 (10g X 30개)</t>
        </is>
      </c>
      <c r="D30" s="2" t="n">
        <v>3180</v>
      </c>
      <c r="E30" t="n">
        <v>2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https://www.kurly.com/goods/1001032586</t>
        </is>
      </c>
      <c r="J30" t="inlineStr"/>
    </row>
    <row r="31">
      <c r="A31" t="inlineStr">
        <is>
          <t>추천</t>
        </is>
      </c>
      <c r="B31" t="inlineStr">
        <is>
          <t>파이/케이크(개별포장)</t>
        </is>
      </c>
      <c r="C31" t="inlineStr">
        <is>
          <t>[오리온] 초코파이 12입</t>
        </is>
      </c>
      <c r="D31" s="2" t="n">
        <v>4320</v>
      </c>
      <c r="E31" t="n">
        <v>3</v>
      </c>
      <c r="F31" s="2">
        <f>D31*E31</f>
        <v/>
      </c>
      <c r="G31" t="n">
        <v>0</v>
      </c>
      <c r="H31" t="n">
        <v>9999</v>
      </c>
      <c r="I31" s="8" t="inlineStr">
        <is>
          <t>https://www.kurly.com/goods/5061296</t>
        </is>
      </c>
      <c r="J31" t="inlineStr"/>
    </row>
    <row r="32">
      <c r="A32" t="inlineStr">
        <is>
          <t>추천</t>
        </is>
      </c>
      <c r="B32" t="inlineStr">
        <is>
          <t>파이/케이크(개별포장)</t>
        </is>
      </c>
      <c r="C32" t="inlineStr">
        <is>
          <t>[해태] 오예스 미니 기획팩 764g (191g x 4팩)</t>
        </is>
      </c>
      <c r="D32" s="2" t="n">
        <v>10800</v>
      </c>
      <c r="E32" t="n">
        <v>1</v>
      </c>
      <c r="F32" s="2">
        <f>D32*E32</f>
        <v/>
      </c>
      <c r="G32" t="n">
        <v>0</v>
      </c>
      <c r="H32" t="n">
        <v>865</v>
      </c>
      <c r="I32" s="8" t="inlineStr">
        <is>
          <t>https://www.kurly.com/goods/1000339499</t>
        </is>
      </c>
      <c r="J32" t="inlineStr"/>
    </row>
    <row r="33">
      <c r="A33" t="inlineStr">
        <is>
          <t>추천</t>
        </is>
      </c>
      <c r="B33" t="inlineStr">
        <is>
          <t>파이/케이크(개별포장)</t>
        </is>
      </c>
      <c r="C33" t="inlineStr">
        <is>
          <t>[오리온] 카스타드 12개입 276g</t>
        </is>
      </c>
      <c r="D33" s="2" t="n">
        <v>4320</v>
      </c>
      <c r="E33" t="n">
        <v>3</v>
      </c>
      <c r="F33" s="2">
        <f>D33*E33</f>
        <v/>
      </c>
      <c r="G33" t="n">
        <v>0</v>
      </c>
      <c r="H33" t="n">
        <v>745</v>
      </c>
      <c r="I33" s="8" t="inlineStr">
        <is>
          <t>https://www.kurly.com/goods/1000875718</t>
        </is>
      </c>
      <c r="J33" t="inlineStr"/>
    </row>
    <row r="34">
      <c r="A34" t="inlineStr">
        <is>
          <t>추천</t>
        </is>
      </c>
      <c r="B34" t="inlineStr">
        <is>
          <t>파이/케이크(개별포장)</t>
        </is>
      </c>
      <c r="C34" t="inlineStr">
        <is>
          <t>[해태] 오예스 기획팩 840g (30g X 28봉지)</t>
        </is>
      </c>
      <c r="D34" s="2" t="n">
        <v>11900</v>
      </c>
      <c r="E34" t="n">
        <v>1</v>
      </c>
      <c r="F34" s="2">
        <f>D34*E34</f>
        <v/>
      </c>
      <c r="G34" t="n">
        <v>0</v>
      </c>
      <c r="H34" t="n">
        <v>607</v>
      </c>
      <c r="I34" s="8" t="inlineStr">
        <is>
          <t>https://www.kurly.com/goods/1001391146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초코파이 말차쇼콜라 408g</t>
        </is>
      </c>
      <c r="D35" s="2" t="n">
        <v>4800</v>
      </c>
      <c r="E35" t="n">
        <v>3</v>
      </c>
      <c r="F35" s="2">
        <f>D35*E35</f>
        <v/>
      </c>
      <c r="G35" t="n">
        <v>0</v>
      </c>
      <c r="H35" t="n">
        <v>950</v>
      </c>
      <c r="I35" s="8" t="inlineStr">
        <is>
          <t>https://www.kurly.com/goods/1001382646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[롯데] 몽쉘 생크림케이크 오리지널 408g</t>
        </is>
      </c>
      <c r="D36" s="2" t="n">
        <v>5600</v>
      </c>
      <c r="E36" t="n">
        <v>2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https://www.kurly.com/goods/1000175874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[롯데] 몽쉘 생크림케이크 카카오 408g</t>
        </is>
      </c>
      <c r="D37" s="2" t="n">
        <v>5600</v>
      </c>
      <c r="E37" t="n">
        <v>2</v>
      </c>
      <c r="F37" s="2">
        <f>D37*E37</f>
        <v/>
      </c>
      <c r="G37" t="n">
        <v>0</v>
      </c>
      <c r="H37" t="n">
        <v>999</v>
      </c>
      <c r="I37" s="8" t="inlineStr">
        <is>
          <t>https://www.kurly.com/goods/1000175876</t>
        </is>
      </c>
      <c r="J37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COUNTIF(구매목록!B5:B37,A2)</f>
        <v/>
      </c>
      <c r="C2" s="2">
        <f>SUMIF(구매목록!B5:B37,A2,구매목록!F5:F37)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COUNTIF(구매목록!B5:B37,A3)</f>
        <v/>
      </c>
      <c r="C3" s="2">
        <f>SUMIF(구매목록!B5:B37,A3,구매목록!F5:F37)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COUNTIF(구매목록!B5:B37,A4)</f>
        <v/>
      </c>
      <c r="C4" s="2">
        <f>SUMIF(구매목록!B5:B37,A4,구매목록!F5:F37)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COUNTIF(구매목록!B5:B37,A5)</f>
        <v/>
      </c>
      <c r="C5" s="2">
        <f>SUMIF(구매목록!B5:B37,A5,구매목록!F5:F37)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COUNTIF(구매목록!B5:B37,A6)</f>
        <v/>
      </c>
      <c r="C6" s="2">
        <f>SUMIF(구매목록!B5:B37,A6,구매목록!F5:F37)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COUNTIF(구매목록!B5:B37,A7)</f>
        <v/>
      </c>
      <c r="C7" s="2">
        <f>SUMIF(구매목록!B5:B37,A7,구매목록!F5:F37)</f>
        <v/>
      </c>
      <c r="D7" s="9">
        <f>C7/SUM($C$2:$C$9)</f>
        <v/>
      </c>
    </row>
    <row r="8">
      <c r="A8" t="inlineStr">
        <is>
          <t>에너지바</t>
        </is>
      </c>
      <c r="B8">
        <f>COUNTIF(구매목록!B5:B37,A8)</f>
        <v/>
      </c>
      <c r="C8" s="2">
        <f>SUMIF(구매목록!B5:B37,A8,구매목록!F5:F37)</f>
        <v/>
      </c>
      <c r="D8" s="9">
        <f>C8/SUM($C$2:$C$9)</f>
        <v/>
      </c>
    </row>
    <row r="9">
      <c r="A9" t="inlineStr">
        <is>
          <t>티/커피 스틱</t>
        </is>
      </c>
      <c r="B9">
        <f>COUNTIF(구매목록!B5:B37,A9)</f>
        <v/>
      </c>
      <c r="C9" s="2">
        <f>SUMIF(구매목록!B5:B37,A9,구매목록!F5:F37)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2026-09-29T06:42:07Z</dcterms:created>
  <dcterms:modified xsi:type="dcterms:W3CDTF">2026-09-29T06:42:07Z</dcterms:modified>
</cp:coreProperties>
</file>